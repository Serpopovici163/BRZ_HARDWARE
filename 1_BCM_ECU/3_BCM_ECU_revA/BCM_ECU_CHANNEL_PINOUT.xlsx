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Trololololol\Documents\Projects\0_BRZ_PARENT\1_BRZ_HARDWARE\1_BCM_ECU\3_BCM_ECU_revA\"/>
    </mc:Choice>
  </mc:AlternateContent>
  <xr:revisionPtr revIDLastSave="0" documentId="13_ncr:1_{86258722-66C9-49FB-BD0F-D9E0347DB324}" xr6:coauthVersionLast="47" xr6:coauthVersionMax="47" xr10:uidLastSave="{00000000-0000-0000-0000-000000000000}"/>
  <bookViews>
    <workbookView xWindow="-28920" yWindow="2415" windowWidth="29040" windowHeight="16440" activeTab="1" xr2:uid="{00000000-000D-0000-FFFF-FFFF00000000}"/>
  </bookViews>
  <sheets>
    <sheet name="PWR CHANNELS" sheetId="1" r:id="rId1"/>
    <sheet name="LED CHANNELS" sheetId="2" r:id="rId2"/>
    <sheet name="CONNECTOR PINOU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D6" i="3" s="1"/>
  <c r="E6" i="3" s="1"/>
  <c r="F6" i="3" s="1"/>
  <c r="G6" i="3" s="1"/>
  <c r="H6" i="3" s="1"/>
  <c r="I6" i="3" s="1"/>
  <c r="J6" i="3" s="1"/>
  <c r="K6" i="3" s="1"/>
  <c r="L6" i="3" s="1"/>
  <c r="M6" i="3" s="1"/>
  <c r="C4" i="3"/>
  <c r="D4" i="3" s="1"/>
  <c r="E4" i="3" s="1"/>
  <c r="F4" i="3" s="1"/>
  <c r="G4" i="3" s="1"/>
  <c r="H4" i="3" s="1"/>
  <c r="I4" i="3" s="1"/>
  <c r="J4" i="3" s="1"/>
  <c r="K4" i="3" s="1"/>
  <c r="L4" i="3" s="1"/>
  <c r="J2" i="3"/>
  <c r="K2" i="3" s="1"/>
  <c r="L2" i="3" s="1"/>
  <c r="M2" i="3" s="1"/>
  <c r="D2" i="2"/>
  <c r="E5" i="2"/>
  <c r="E6" i="2"/>
  <c r="E7" i="2"/>
  <c r="E8" i="2"/>
  <c r="E3" i="2"/>
  <c r="E4" i="2"/>
  <c r="E2" i="2"/>
  <c r="H2" i="2"/>
  <c r="D10" i="2"/>
  <c r="E10" i="2" s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6" i="1"/>
</calcChain>
</file>

<file path=xl/sharedStrings.xml><?xml version="1.0" encoding="utf-8"?>
<sst xmlns="http://schemas.openxmlformats.org/spreadsheetml/2006/main" count="45" uniqueCount="34">
  <si>
    <t>FUNCTION</t>
  </si>
  <si>
    <t>EST CURRENT DRAW</t>
  </si>
  <si>
    <t>FUSE MIN</t>
  </si>
  <si>
    <t>FUSE CHOSEN</t>
  </si>
  <si>
    <t>PWR CHAN #</t>
  </si>
  <si>
    <t>HL_L_DRL</t>
  </si>
  <si>
    <t>HL_L_IND</t>
  </si>
  <si>
    <t>HL_R_DRL</t>
  </si>
  <si>
    <t>HL_R_IND</t>
  </si>
  <si>
    <t>BL_L_BRK</t>
  </si>
  <si>
    <t>BL_L_IND</t>
  </si>
  <si>
    <t>BL_R_BRK</t>
  </si>
  <si>
    <t>BL_R_IND</t>
  </si>
  <si>
    <t>BL_RUN</t>
  </si>
  <si>
    <t>IR_L</t>
  </si>
  <si>
    <t>IR_R</t>
  </si>
  <si>
    <t>REAR_STRB</t>
  </si>
  <si>
    <t>LED CHANNEL</t>
  </si>
  <si>
    <t>PWR BUS</t>
  </si>
  <si>
    <t>FR_BUMP_SIDEMRKR</t>
  </si>
  <si>
    <t>FR_BUMP_FOG</t>
  </si>
  <si>
    <t>FR_GLASS_LB</t>
  </si>
  <si>
    <t># OF LEDs</t>
  </si>
  <si>
    <t>RR_GLASS_LB</t>
  </si>
  <si>
    <t>RR_GLASS_SIDEMRKR</t>
  </si>
  <si>
    <t>RR_PLATE_ILUM</t>
  </si>
  <si>
    <t>RR_4TH_BRKLT</t>
  </si>
  <si>
    <t>SPARE</t>
  </si>
  <si>
    <t>PWR CONSUMPTION (A)</t>
  </si>
  <si>
    <t>LED_CUR_DRAW</t>
  </si>
  <si>
    <t>?</t>
  </si>
  <si>
    <t>CONN A</t>
  </si>
  <si>
    <t>PIN #</t>
  </si>
  <si>
    <t>PWR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</si>
</sst>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F12" sqref="F12"/>
    </sheetView>
  </sheetViews>
  <sheetFormatPr defaultRowHeight="15" x14ac:dyDescent="0.25"/>
  <cols>
    <col min="1" max="1" width="12.140625" bestFit="1" customWidth="1"/>
    <col min="2" max="2" width="10.85546875" bestFit="1" customWidth="1"/>
    <col min="3" max="3" width="18.85546875" bestFit="1" customWidth="1"/>
    <col min="4" max="4" width="9.42578125" bestFit="1" customWidth="1"/>
    <col min="5" max="5" width="13.1406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5</v>
      </c>
    </row>
    <row r="3" spans="1:5" x14ac:dyDescent="0.25">
      <c r="A3">
        <v>2</v>
      </c>
      <c r="B3" t="s">
        <v>6</v>
      </c>
    </row>
    <row r="4" spans="1:5" x14ac:dyDescent="0.25">
      <c r="A4">
        <v>3</v>
      </c>
      <c r="B4" t="s">
        <v>7</v>
      </c>
    </row>
    <row r="5" spans="1:5" x14ac:dyDescent="0.25">
      <c r="A5">
        <v>4</v>
      </c>
      <c r="B5" t="s">
        <v>8</v>
      </c>
    </row>
    <row r="6" spans="1:5" x14ac:dyDescent="0.25">
      <c r="A6">
        <f>A5+1</f>
        <v>5</v>
      </c>
      <c r="B6" t="s">
        <v>9</v>
      </c>
    </row>
    <row r="7" spans="1:5" x14ac:dyDescent="0.25">
      <c r="A7">
        <f t="shared" ref="A7:A17" si="0">A6+1</f>
        <v>6</v>
      </c>
      <c r="B7" t="s">
        <v>10</v>
      </c>
    </row>
    <row r="8" spans="1:5" x14ac:dyDescent="0.25">
      <c r="A8">
        <f t="shared" si="0"/>
        <v>7</v>
      </c>
      <c r="B8" t="s">
        <v>11</v>
      </c>
    </row>
    <row r="9" spans="1:5" x14ac:dyDescent="0.25">
      <c r="A9">
        <f t="shared" si="0"/>
        <v>8</v>
      </c>
      <c r="B9" t="s">
        <v>12</v>
      </c>
    </row>
    <row r="10" spans="1:5" x14ac:dyDescent="0.25">
      <c r="A10">
        <f t="shared" si="0"/>
        <v>9</v>
      </c>
      <c r="B10" t="s">
        <v>13</v>
      </c>
    </row>
    <row r="11" spans="1:5" x14ac:dyDescent="0.25">
      <c r="A11">
        <f t="shared" si="0"/>
        <v>10</v>
      </c>
      <c r="B11" t="s">
        <v>14</v>
      </c>
    </row>
    <row r="12" spans="1:5" x14ac:dyDescent="0.25">
      <c r="A12">
        <f t="shared" si="0"/>
        <v>11</v>
      </c>
      <c r="B12" t="s">
        <v>15</v>
      </c>
    </row>
    <row r="13" spans="1:5" x14ac:dyDescent="0.25">
      <c r="A13">
        <f t="shared" si="0"/>
        <v>12</v>
      </c>
      <c r="B13" t="s">
        <v>16</v>
      </c>
    </row>
    <row r="14" spans="1:5" x14ac:dyDescent="0.25">
      <c r="A14">
        <f t="shared" si="0"/>
        <v>13</v>
      </c>
    </row>
    <row r="15" spans="1:5" x14ac:dyDescent="0.25">
      <c r="A15">
        <f t="shared" si="0"/>
        <v>14</v>
      </c>
    </row>
    <row r="16" spans="1:5" x14ac:dyDescent="0.25">
      <c r="A16">
        <f t="shared" si="0"/>
        <v>15</v>
      </c>
    </row>
    <row r="17" spans="1:1" x14ac:dyDescent="0.25">
      <c r="A17">
        <f t="shared" si="0"/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7A87-249D-4B2F-9427-628F7D9DA060}">
  <dimension ref="A1:H10"/>
  <sheetViews>
    <sheetView tabSelected="1" workbookViewId="0">
      <selection activeCell="C12" sqref="C12"/>
    </sheetView>
  </sheetViews>
  <sheetFormatPr defaultRowHeight="15" x14ac:dyDescent="0.25"/>
  <cols>
    <col min="1" max="1" width="9" bestFit="1" customWidth="1"/>
    <col min="2" max="2" width="13.140625" bestFit="1" customWidth="1"/>
    <col min="3" max="3" width="19.7109375" bestFit="1" customWidth="1"/>
    <col min="4" max="4" width="9.28515625" bestFit="1" customWidth="1"/>
    <col min="5" max="5" width="22.7109375" bestFit="1" customWidth="1"/>
  </cols>
  <sheetData>
    <row r="1" spans="1:8" x14ac:dyDescent="0.25">
      <c r="A1" t="s">
        <v>18</v>
      </c>
      <c r="B1" t="s">
        <v>17</v>
      </c>
      <c r="C1" t="s">
        <v>0</v>
      </c>
      <c r="D1" t="s">
        <v>22</v>
      </c>
      <c r="E1" t="s">
        <v>28</v>
      </c>
    </row>
    <row r="2" spans="1:8" x14ac:dyDescent="0.25">
      <c r="A2">
        <v>1</v>
      </c>
      <c r="B2">
        <v>1</v>
      </c>
      <c r="C2" t="s">
        <v>20</v>
      </c>
      <c r="D2">
        <f>2+2*0.5</f>
        <v>3</v>
      </c>
      <c r="E2">
        <f>D2*$H$2</f>
        <v>2.5</v>
      </c>
      <c r="G2" t="s">
        <v>29</v>
      </c>
      <c r="H2">
        <f>10/12</f>
        <v>0.83333333333333337</v>
      </c>
    </row>
    <row r="3" spans="1:8" x14ac:dyDescent="0.25">
      <c r="A3">
        <v>1</v>
      </c>
      <c r="B3">
        <v>1</v>
      </c>
      <c r="C3" t="s">
        <v>19</v>
      </c>
      <c r="D3">
        <v>2</v>
      </c>
      <c r="E3">
        <f t="shared" ref="E3:E10" si="0">D3*$H$2</f>
        <v>1.6666666666666667</v>
      </c>
    </row>
    <row r="4" spans="1:8" x14ac:dyDescent="0.25">
      <c r="A4">
        <v>2</v>
      </c>
      <c r="B4">
        <v>2</v>
      </c>
      <c r="C4" t="s">
        <v>21</v>
      </c>
      <c r="D4">
        <v>4</v>
      </c>
      <c r="E4">
        <f t="shared" si="0"/>
        <v>3.3333333333333335</v>
      </c>
    </row>
    <row r="5" spans="1:8" x14ac:dyDescent="0.25">
      <c r="A5">
        <v>3</v>
      </c>
      <c r="B5">
        <v>2</v>
      </c>
      <c r="C5" t="s">
        <v>23</v>
      </c>
      <c r="D5">
        <v>4</v>
      </c>
      <c r="E5">
        <f t="shared" si="0"/>
        <v>3.3333333333333335</v>
      </c>
    </row>
    <row r="6" spans="1:8" x14ac:dyDescent="0.25">
      <c r="A6">
        <v>1</v>
      </c>
      <c r="B6">
        <v>2</v>
      </c>
      <c r="C6" t="s">
        <v>24</v>
      </c>
      <c r="D6">
        <v>2</v>
      </c>
      <c r="E6">
        <f t="shared" si="0"/>
        <v>1.6666666666666667</v>
      </c>
    </row>
    <row r="7" spans="1:8" x14ac:dyDescent="0.25">
      <c r="A7">
        <v>2</v>
      </c>
      <c r="B7">
        <v>3</v>
      </c>
      <c r="C7" t="s">
        <v>25</v>
      </c>
      <c r="D7">
        <v>2</v>
      </c>
      <c r="E7">
        <f t="shared" si="0"/>
        <v>1.6666666666666667</v>
      </c>
    </row>
    <row r="8" spans="1:8" x14ac:dyDescent="0.25">
      <c r="A8">
        <v>3</v>
      </c>
      <c r="B8">
        <v>3</v>
      </c>
      <c r="C8" t="s">
        <v>26</v>
      </c>
      <c r="D8">
        <v>3</v>
      </c>
      <c r="E8">
        <f t="shared" si="0"/>
        <v>2.5</v>
      </c>
    </row>
    <row r="9" spans="1:8" x14ac:dyDescent="0.25">
      <c r="B9">
        <v>4</v>
      </c>
      <c r="C9" t="s">
        <v>27</v>
      </c>
      <c r="D9" t="s">
        <v>30</v>
      </c>
    </row>
    <row r="10" spans="1:8" x14ac:dyDescent="0.25">
      <c r="D10">
        <f>SUM(D2:D8)</f>
        <v>20</v>
      </c>
      <c r="E10">
        <f t="shared" si="0"/>
        <v>16.666666666666668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731B-0870-43DB-9526-4D708776A2B5}">
  <dimension ref="A1:N8"/>
  <sheetViews>
    <sheetView workbookViewId="0">
      <selection activeCell="B2" sqref="B2:C7"/>
    </sheetView>
  </sheetViews>
  <sheetFormatPr defaultRowHeight="15" x14ac:dyDescent="0.25"/>
  <sheetData>
    <row r="1" spans="1:14" x14ac:dyDescent="0.25">
      <c r="A1" s="1"/>
      <c r="B1" s="2" t="s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spans="1:14" x14ac:dyDescent="0.25">
      <c r="A2" t="s">
        <v>32</v>
      </c>
      <c r="B2" s="3">
        <v>1</v>
      </c>
      <c r="C2" s="3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f>I2+1</f>
        <v>9</v>
      </c>
      <c r="K2">
        <f t="shared" ref="K2:M2" si="0">J2+1</f>
        <v>10</v>
      </c>
      <c r="L2">
        <f t="shared" si="0"/>
        <v>11</v>
      </c>
      <c r="M2">
        <f t="shared" si="0"/>
        <v>12</v>
      </c>
      <c r="N2" s="1"/>
    </row>
    <row r="3" spans="1:14" x14ac:dyDescent="0.25">
      <c r="A3" t="s">
        <v>0</v>
      </c>
      <c r="B3" s="3" t="s">
        <v>33</v>
      </c>
      <c r="C3" s="3" t="s">
        <v>33</v>
      </c>
      <c r="N3" s="1"/>
    </row>
    <row r="4" spans="1:14" x14ac:dyDescent="0.25">
      <c r="A4" t="s">
        <v>32</v>
      </c>
      <c r="B4" s="3">
        <v>13</v>
      </c>
      <c r="C4" s="3">
        <f>B4+1</f>
        <v>14</v>
      </c>
      <c r="D4">
        <f t="shared" ref="D4:L4" si="1">C4+1</f>
        <v>15</v>
      </c>
      <c r="E4">
        <f t="shared" si="1"/>
        <v>16</v>
      </c>
      <c r="F4">
        <f t="shared" si="1"/>
        <v>17</v>
      </c>
      <c r="G4">
        <f t="shared" si="1"/>
        <v>18</v>
      </c>
      <c r="H4">
        <f t="shared" si="1"/>
        <v>19</v>
      </c>
      <c r="I4">
        <f t="shared" si="1"/>
        <v>20</v>
      </c>
      <c r="J4">
        <f t="shared" si="1"/>
        <v>21</v>
      </c>
      <c r="K4">
        <f t="shared" si="1"/>
        <v>22</v>
      </c>
      <c r="L4">
        <f t="shared" si="1"/>
        <v>23</v>
      </c>
      <c r="M4" s="1"/>
      <c r="N4" s="1"/>
    </row>
    <row r="5" spans="1:14" x14ac:dyDescent="0.25">
      <c r="A5" t="s">
        <v>0</v>
      </c>
      <c r="B5" s="3" t="s">
        <v>33</v>
      </c>
      <c r="C5" s="3" t="s">
        <v>33</v>
      </c>
      <c r="M5" s="1"/>
      <c r="N5" s="1"/>
    </row>
    <row r="6" spans="1:14" x14ac:dyDescent="0.25">
      <c r="A6" t="s">
        <v>32</v>
      </c>
      <c r="B6" s="3">
        <v>24</v>
      </c>
      <c r="C6" s="3">
        <f>B6+1</f>
        <v>25</v>
      </c>
      <c r="D6">
        <f t="shared" ref="D6:M6" si="2">C6+1</f>
        <v>26</v>
      </c>
      <c r="E6">
        <f t="shared" si="2"/>
        <v>27</v>
      </c>
      <c r="F6">
        <f t="shared" si="2"/>
        <v>28</v>
      </c>
      <c r="G6">
        <f t="shared" si="2"/>
        <v>29</v>
      </c>
      <c r="H6">
        <f t="shared" si="2"/>
        <v>30</v>
      </c>
      <c r="I6">
        <f t="shared" si="2"/>
        <v>31</v>
      </c>
      <c r="J6">
        <f t="shared" si="2"/>
        <v>32</v>
      </c>
      <c r="K6">
        <f t="shared" si="2"/>
        <v>33</v>
      </c>
      <c r="L6">
        <f t="shared" si="2"/>
        <v>34</v>
      </c>
      <c r="M6">
        <f t="shared" si="2"/>
        <v>35</v>
      </c>
      <c r="N6" s="1"/>
    </row>
    <row r="7" spans="1:14" x14ac:dyDescent="0.25">
      <c r="A7" t="s">
        <v>0</v>
      </c>
      <c r="B7" s="3" t="s">
        <v>33</v>
      </c>
      <c r="C7" s="3" t="s">
        <v>33</v>
      </c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PWR CHANNELS</vt:lpstr>
      <vt:lpstr>LED CHANNELS</vt:lpstr>
      <vt:lpstr>CONNECTOR PINOUTS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2015-06-05T18:17:20Z</dcterms:created>
  <dcterms:modified xsi:type="dcterms:W3CDTF">2025-06-14T06:29:59Z</dcterms:modified>
</cp:coreProperties>
</file>