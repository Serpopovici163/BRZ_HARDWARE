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e097192\Documents\0_BRZ\1_BRZ_HARDWARE\2_ADAS_ECU\4.1_ADAS_ECU_revA (ORIN NX)\"/>
    </mc:Choice>
  </mc:AlternateContent>
  <xr:revisionPtr revIDLastSave="0" documentId="13_ncr:1_{21647E18-5CC5-4872-B278-9D4093B37320}" xr6:coauthVersionLast="47" xr6:coauthVersionMax="47" xr10:uidLastSave="{00000000-0000-0000-0000-000000000000}"/>
  <bookViews>
    <workbookView xWindow="28680" yWindow="-120" windowWidth="29040" windowHeight="15720" activeTab="1" xr2:uid="{F9C4DBE3-62FA-4DEE-9748-8747E0CAF855}"/>
  </bookViews>
  <sheets>
    <sheet name="5A REGS" sheetId="1" r:id="rId1"/>
    <sheet name="10A REG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4" i="2" l="1"/>
  <c r="G15" i="2" s="1"/>
  <c r="G16" i="2" s="1"/>
  <c r="G17" i="2" s="1"/>
  <c r="E14" i="2"/>
  <c r="E15" i="2" s="1"/>
  <c r="E16" i="2" s="1"/>
  <c r="E17" i="2" s="1"/>
  <c r="D14" i="2"/>
  <c r="D15" i="2" s="1"/>
  <c r="D16" i="2" s="1"/>
  <c r="D17" i="2" s="1"/>
  <c r="F14" i="2"/>
  <c r="F15" i="2" s="1"/>
  <c r="F16" i="2" s="1"/>
  <c r="F17" i="2" s="1"/>
  <c r="K17" i="1"/>
  <c r="K16" i="1"/>
  <c r="K15" i="1"/>
  <c r="K14" i="1"/>
  <c r="E17" i="1"/>
  <c r="F17" i="1"/>
  <c r="G17" i="1"/>
  <c r="H17" i="1"/>
  <c r="I17" i="1"/>
  <c r="J17" i="1"/>
  <c r="D17" i="1"/>
  <c r="E16" i="1"/>
  <c r="F16" i="1"/>
  <c r="H16" i="1"/>
  <c r="I16" i="1"/>
  <c r="J16" i="1"/>
  <c r="D16" i="1"/>
  <c r="J14" i="1"/>
  <c r="J15" i="1" s="1"/>
  <c r="F14" i="1"/>
  <c r="F15" i="1" s="1"/>
  <c r="E14" i="1"/>
  <c r="E15" i="1" s="1"/>
  <c r="G14" i="1"/>
  <c r="G15" i="1" s="1"/>
  <c r="H14" i="1"/>
  <c r="H15" i="1" s="1"/>
  <c r="I14" i="1"/>
  <c r="I15" i="1" s="1"/>
  <c r="D14" i="1"/>
  <c r="D15" i="1" s="1"/>
  <c r="H14" i="2" l="1"/>
  <c r="H15" i="2"/>
  <c r="H17" i="2" l="1"/>
  <c r="H16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tc={5B906C14-E7F7-4DB6-885A-CA970B3C978B}</author>
  </authors>
  <commentList>
    <comment ref="G16" authorId="0" shapeId="0" xr:uid="{5B906C14-E7F7-4DB6-885A-CA970B3C978B}">
      <text>
        <t>[Threaded comment]
Your version of Excel allows you to read this threaded comment; however, any edits to it will get removed if the file is opened in a newer version of Excel. Learn more: https://go.microsoft.com/fwlink/?linkid=870924
Comment:
    Overriden, prob will never power a jetson with 5V and will almost certainly never reach 30W if doing so</t>
      </text>
    </comment>
  </commentList>
</comments>
</file>

<file path=xl/sharedStrings.xml><?xml version="1.0" encoding="utf-8"?>
<sst xmlns="http://schemas.openxmlformats.org/spreadsheetml/2006/main" count="67" uniqueCount="38">
  <si>
    <t>Device</t>
  </si>
  <si>
    <t>Data source</t>
  </si>
  <si>
    <t>2V Usage</t>
  </si>
  <si>
    <t>Jetson</t>
  </si>
  <si>
    <t>SSD</t>
  </si>
  <si>
    <t>WiFi Card</t>
  </si>
  <si>
    <t>Cams</t>
  </si>
  <si>
    <t>Quantity</t>
  </si>
  <si>
    <t>MAX96724</t>
  </si>
  <si>
    <t>Downstream USB Devices</t>
  </si>
  <si>
    <t>HDMI</t>
  </si>
  <si>
    <t>MAX96751</t>
  </si>
  <si>
    <t>AR HUD</t>
  </si>
  <si>
    <t>Fans</t>
  </si>
  <si>
    <t>Power usage in Watts</t>
  </si>
  <si>
    <t>Internet</t>
  </si>
  <si>
    <t>5V MAIN Usage</t>
  </si>
  <si>
    <t>5V AUX Usage</t>
  </si>
  <si>
    <t>Internet/guess</t>
  </si>
  <si>
    <t>Guess, assuming 1A draw</t>
  </si>
  <si>
    <t>Testing but testing used 3V3 with LDOs. In this config, 3V3 rail ran at .4A nominal ish ~1.32W therefore assuming 2W on 2V rail and 1 on 3V3 to be save</t>
  </si>
  <si>
    <t>Excessive guess</t>
  </si>
  <si>
    <t>Idk so assuming very high usage</t>
  </si>
  <si>
    <t>Assuming 2A draw but prob can't provide that over a single coax, tbd</t>
  </si>
  <si>
    <t>3V3 MAIN Usage</t>
  </si>
  <si>
    <t>3V3 AUX Usage</t>
  </si>
  <si>
    <t>Assuming 3A max draw, only one USB port provides power</t>
  </si>
  <si>
    <t>Filtered VCC Usage</t>
  </si>
  <si>
    <t>Unfiltered VCC Usage</t>
  </si>
  <si>
    <t>Total draw [W]</t>
  </si>
  <si>
    <t>Total draw [A]</t>
  </si>
  <si>
    <t>Total draw rounded up [A]</t>
  </si>
  <si>
    <t>Stacking conn pins required (based on 2A/pin)</t>
  </si>
  <si>
    <t>3V3 Usage</t>
  </si>
  <si>
    <t>12V Usage</t>
  </si>
  <si>
    <t>5V Usage</t>
  </si>
  <si>
    <t>Power usage in watts</t>
  </si>
  <si>
    <t>Guess, assuming .5A draw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</si>
</sst>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9C0006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4">
    <xf numFmtId="0" fontId="0" fillId="0" borderId="0" xfId="0"/>
    <xf numFmtId="0" fontId="1" fillId="2" borderId="0" xfId="1"/>
    <xf numFmtId="0" fontId="0" fillId="0" borderId="0" xfId="0" applyAlignment="1">
      <alignment horizontal="center"/>
    </xf>
    <xf numFmtId="0" fontId="0" fillId="3" borderId="0" xfId="0" applyFill="1"/>
  </cellXfs>
  <cellStyles count="2">
    <cellStyle name="Bad" xfId="1" builtinId="27"/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Serban Popovici" id="{1CCC6CC3-9B4F-43CA-ADC3-6A93D4EC8E6F}" userId="S::serban.popovici@mail.mcgill.ca::c66d9d15-e7d9-4d32-896d-66b418061747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G16" dT="2025-11-11T22:57:14.34" personId="{1CCC6CC3-9B4F-43CA-ADC3-6A93D4EC8E6F}" id="{5B906C14-E7F7-4DB6-885A-CA970B3C978B}">
    <text>Overriden, prob will never power a jetson with 5V and will almost certainly never reach 30W if doing so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3FACC4-CB7E-4E66-92F3-39FED1C4D0B6}">
  <dimension ref="A1:K17"/>
  <sheetViews>
    <sheetView zoomScale="130" zoomScaleNormal="130" workbookViewId="0">
      <selection activeCell="C21" sqref="C21"/>
    </sheetView>
  </sheetViews>
  <sheetFormatPr defaultRowHeight="15" x14ac:dyDescent="0.25"/>
  <cols>
    <col min="1" max="1" width="23.5703125" bestFit="1" customWidth="1"/>
    <col min="2" max="2" width="8.42578125" bestFit="1" customWidth="1"/>
    <col min="3" max="3" width="11.5703125" bestFit="1" customWidth="1"/>
    <col min="4" max="4" width="20" bestFit="1" customWidth="1"/>
    <col min="5" max="5" width="10" bestFit="1" customWidth="1"/>
    <col min="6" max="6" width="10" customWidth="1"/>
    <col min="7" max="7" width="9" bestFit="1" customWidth="1"/>
    <col min="8" max="8" width="9" customWidth="1"/>
    <col min="9" max="9" width="10.28515625" bestFit="1" customWidth="1"/>
    <col min="10" max="10" width="10.28515625" customWidth="1"/>
  </cols>
  <sheetData>
    <row r="1" spans="1:11" x14ac:dyDescent="0.25">
      <c r="D1" t="s">
        <v>14</v>
      </c>
    </row>
    <row r="2" spans="1:11" x14ac:dyDescent="0.25">
      <c r="A2" t="s">
        <v>0</v>
      </c>
      <c r="B2" t="s">
        <v>7</v>
      </c>
      <c r="C2" t="s">
        <v>1</v>
      </c>
      <c r="D2" t="s">
        <v>2</v>
      </c>
      <c r="E2" t="s">
        <v>24</v>
      </c>
      <c r="F2" t="s">
        <v>25</v>
      </c>
      <c r="G2" t="s">
        <v>16</v>
      </c>
      <c r="H2" t="s">
        <v>17</v>
      </c>
      <c r="I2" t="s">
        <v>27</v>
      </c>
      <c r="J2" t="s">
        <v>28</v>
      </c>
    </row>
    <row r="3" spans="1:11" x14ac:dyDescent="0.25">
      <c r="A3" t="s">
        <v>3</v>
      </c>
      <c r="B3">
        <v>1</v>
      </c>
      <c r="C3" t="s">
        <v>15</v>
      </c>
      <c r="G3">
        <v>30</v>
      </c>
      <c r="I3">
        <v>60</v>
      </c>
    </row>
    <row r="4" spans="1:11" x14ac:dyDescent="0.25">
      <c r="A4" t="s">
        <v>4</v>
      </c>
      <c r="B4">
        <v>1</v>
      </c>
      <c r="C4" t="s">
        <v>15</v>
      </c>
      <c r="E4">
        <v>10</v>
      </c>
    </row>
    <row r="5" spans="1:11" x14ac:dyDescent="0.25">
      <c r="A5" t="s">
        <v>5</v>
      </c>
      <c r="B5">
        <v>1</v>
      </c>
      <c r="C5" t="s">
        <v>18</v>
      </c>
      <c r="F5">
        <v>10</v>
      </c>
    </row>
    <row r="6" spans="1:11" x14ac:dyDescent="0.25">
      <c r="A6" t="s">
        <v>8</v>
      </c>
      <c r="B6">
        <v>2</v>
      </c>
      <c r="C6" t="s">
        <v>20</v>
      </c>
      <c r="D6">
        <v>2</v>
      </c>
      <c r="E6">
        <v>1</v>
      </c>
    </row>
    <row r="7" spans="1:11" x14ac:dyDescent="0.25">
      <c r="A7" t="s">
        <v>6</v>
      </c>
      <c r="B7">
        <v>8</v>
      </c>
      <c r="C7" t="s">
        <v>19</v>
      </c>
      <c r="I7">
        <v>12</v>
      </c>
    </row>
    <row r="8" spans="1:11" x14ac:dyDescent="0.25">
      <c r="A8" t="s">
        <v>9</v>
      </c>
      <c r="B8">
        <v>1</v>
      </c>
      <c r="C8" t="s">
        <v>26</v>
      </c>
      <c r="H8">
        <v>15</v>
      </c>
    </row>
    <row r="9" spans="1:11" x14ac:dyDescent="0.25">
      <c r="A9" t="s">
        <v>10</v>
      </c>
      <c r="B9">
        <v>1</v>
      </c>
      <c r="C9" t="s">
        <v>21</v>
      </c>
      <c r="H9">
        <v>2</v>
      </c>
    </row>
    <row r="10" spans="1:11" x14ac:dyDescent="0.25">
      <c r="A10" t="s">
        <v>11</v>
      </c>
      <c r="B10">
        <v>1</v>
      </c>
      <c r="C10" t="s">
        <v>22</v>
      </c>
      <c r="D10">
        <v>5</v>
      </c>
      <c r="E10">
        <v>0</v>
      </c>
      <c r="F10">
        <v>5</v>
      </c>
    </row>
    <row r="11" spans="1:11" x14ac:dyDescent="0.25">
      <c r="A11" t="s">
        <v>12</v>
      </c>
      <c r="B11">
        <v>1</v>
      </c>
      <c r="C11" t="s">
        <v>23</v>
      </c>
      <c r="J11">
        <v>24</v>
      </c>
    </row>
    <row r="12" spans="1:11" x14ac:dyDescent="0.25">
      <c r="A12" t="s">
        <v>13</v>
      </c>
      <c r="B12">
        <v>2</v>
      </c>
      <c r="C12" t="s">
        <v>21</v>
      </c>
      <c r="J12">
        <v>10</v>
      </c>
    </row>
    <row r="14" spans="1:11" x14ac:dyDescent="0.25">
      <c r="A14" s="2" t="s">
        <v>29</v>
      </c>
      <c r="B14" s="2"/>
      <c r="C14" s="2"/>
      <c r="D14">
        <f>SUMPRODUCT($B$3:$B$12,D3:D12)</f>
        <v>9</v>
      </c>
      <c r="E14">
        <f t="shared" ref="E14:J14" si="0">SUMPRODUCT($B$3:$B$12,E3:E12)</f>
        <v>12</v>
      </c>
      <c r="F14">
        <f t="shared" si="0"/>
        <v>15</v>
      </c>
      <c r="G14">
        <f t="shared" si="0"/>
        <v>30</v>
      </c>
      <c r="H14">
        <f t="shared" si="0"/>
        <v>17</v>
      </c>
      <c r="I14">
        <f t="shared" si="0"/>
        <v>156</v>
      </c>
      <c r="J14">
        <f t="shared" si="0"/>
        <v>44</v>
      </c>
      <c r="K14">
        <f>SUM(D14:J14)</f>
        <v>283</v>
      </c>
    </row>
    <row r="15" spans="1:11" x14ac:dyDescent="0.25">
      <c r="A15" s="2" t="s">
        <v>30</v>
      </c>
      <c r="B15" s="2"/>
      <c r="C15" s="2"/>
      <c r="D15">
        <f>D14/2</f>
        <v>4.5</v>
      </c>
      <c r="E15">
        <f>E14/3.3</f>
        <v>3.6363636363636367</v>
      </c>
      <c r="F15">
        <f>F14/3.3</f>
        <v>4.5454545454545459</v>
      </c>
      <c r="G15">
        <f>G14/5</f>
        <v>6</v>
      </c>
      <c r="H15">
        <f>H14/5</f>
        <v>3.4</v>
      </c>
      <c r="I15">
        <f>I14/12</f>
        <v>13</v>
      </c>
      <c r="J15">
        <f>J14/12</f>
        <v>3.6666666666666665</v>
      </c>
      <c r="K15">
        <f>SUM(D15:J15)</f>
        <v>38.748484848484843</v>
      </c>
    </row>
    <row r="16" spans="1:11" x14ac:dyDescent="0.25">
      <c r="A16" s="2" t="s">
        <v>31</v>
      </c>
      <c r="B16" s="2"/>
      <c r="C16" s="2"/>
      <c r="D16">
        <f>CEILING(D15, 5)</f>
        <v>5</v>
      </c>
      <c r="E16">
        <f t="shared" ref="E16:J16" si="1">CEILING(E15, 5)</f>
        <v>5</v>
      </c>
      <c r="F16">
        <f t="shared" si="1"/>
        <v>5</v>
      </c>
      <c r="G16" s="1">
        <v>6</v>
      </c>
      <c r="H16">
        <f t="shared" si="1"/>
        <v>5</v>
      </c>
      <c r="I16">
        <f t="shared" si="1"/>
        <v>15</v>
      </c>
      <c r="J16">
        <f t="shared" si="1"/>
        <v>5</v>
      </c>
      <c r="K16">
        <f>SUM(D16:J16)</f>
        <v>46</v>
      </c>
    </row>
    <row r="17" spans="1:11" x14ac:dyDescent="0.25">
      <c r="A17" s="2" t="s">
        <v>32</v>
      </c>
      <c r="B17" s="2"/>
      <c r="C17" s="2"/>
      <c r="D17">
        <f>CEILING(D16/2,1)</f>
        <v>3</v>
      </c>
      <c r="E17">
        <f t="shared" ref="E17:J17" si="2">CEILING(E16/2,1)</f>
        <v>3</v>
      </c>
      <c r="F17">
        <f t="shared" si="2"/>
        <v>3</v>
      </c>
      <c r="G17">
        <f t="shared" si="2"/>
        <v>3</v>
      </c>
      <c r="H17">
        <f t="shared" si="2"/>
        <v>3</v>
      </c>
      <c r="I17">
        <f t="shared" si="2"/>
        <v>8</v>
      </c>
      <c r="J17">
        <f t="shared" si="2"/>
        <v>3</v>
      </c>
      <c r="K17">
        <f>SUM(D17:J17)</f>
        <v>26</v>
      </c>
    </row>
  </sheetData>
  <mergeCells count="4">
    <mergeCell ref="A14:C14"/>
    <mergeCell ref="A15:C15"/>
    <mergeCell ref="A16:C16"/>
    <mergeCell ref="A17:C17"/>
  </mergeCells>
  <conditionalFormatting sqref="D15:J15">
    <cfRule type="cellIs" dxfId="3" priority="1" operator="lessThan">
      <formula>5</formula>
    </cfRule>
    <cfRule type="cellIs" dxfId="2" priority="2" operator="greaterThan">
      <formula>5</formula>
    </cfRule>
  </conditionalFormatting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AC54BA-5AF0-4249-A95B-01DDC1DC18C5}">
  <dimension ref="A1:H17"/>
  <sheetViews>
    <sheetView tabSelected="1" zoomScale="130" zoomScaleNormal="130" workbookViewId="0">
      <selection activeCell="D15" sqref="D15"/>
    </sheetView>
  </sheetViews>
  <sheetFormatPr defaultRowHeight="15" x14ac:dyDescent="0.25"/>
  <cols>
    <col min="1" max="1" width="23.5703125" bestFit="1" customWidth="1"/>
    <col min="2" max="2" width="8.42578125" bestFit="1" customWidth="1"/>
    <col min="3" max="3" width="16.140625" customWidth="1"/>
    <col min="4" max="4" width="10" bestFit="1" customWidth="1"/>
    <col min="5" max="5" width="9" customWidth="1"/>
    <col min="6" max="6" width="13.140625" bestFit="1" customWidth="1"/>
    <col min="7" max="7" width="19.5703125" bestFit="1" customWidth="1"/>
  </cols>
  <sheetData>
    <row r="1" spans="1:8" x14ac:dyDescent="0.25">
      <c r="A1" s="3"/>
      <c r="B1" s="3"/>
      <c r="C1" s="3"/>
      <c r="D1" s="2" t="s">
        <v>36</v>
      </c>
      <c r="E1" s="2"/>
      <c r="F1" s="2"/>
      <c r="G1" s="2"/>
      <c r="H1" s="3"/>
    </row>
    <row r="2" spans="1:8" x14ac:dyDescent="0.25">
      <c r="A2" t="s">
        <v>0</v>
      </c>
      <c r="B2" t="s">
        <v>7</v>
      </c>
      <c r="C2" t="s">
        <v>1</v>
      </c>
      <c r="D2" t="s">
        <v>34</v>
      </c>
      <c r="E2" t="s">
        <v>35</v>
      </c>
      <c r="F2" t="s">
        <v>33</v>
      </c>
      <c r="G2" t="s">
        <v>28</v>
      </c>
      <c r="H2" s="3"/>
    </row>
    <row r="3" spans="1:8" x14ac:dyDescent="0.25">
      <c r="A3" t="s">
        <v>3</v>
      </c>
      <c r="B3">
        <v>1</v>
      </c>
      <c r="C3" t="s">
        <v>15</v>
      </c>
      <c r="D3">
        <v>40</v>
      </c>
      <c r="E3" s="3"/>
      <c r="F3" s="3"/>
      <c r="G3" s="3"/>
      <c r="H3" s="3"/>
    </row>
    <row r="4" spans="1:8" x14ac:dyDescent="0.25">
      <c r="A4" t="s">
        <v>4</v>
      </c>
      <c r="B4">
        <v>1</v>
      </c>
      <c r="C4" t="s">
        <v>15</v>
      </c>
      <c r="D4" s="3"/>
      <c r="E4" s="3"/>
      <c r="F4">
        <v>10</v>
      </c>
      <c r="G4" s="3"/>
      <c r="H4" s="3"/>
    </row>
    <row r="5" spans="1:8" x14ac:dyDescent="0.25">
      <c r="A5" t="s">
        <v>5</v>
      </c>
      <c r="B5">
        <v>1</v>
      </c>
      <c r="C5" t="s">
        <v>18</v>
      </c>
      <c r="D5" s="3"/>
      <c r="E5" s="3"/>
      <c r="F5">
        <v>10</v>
      </c>
      <c r="G5" s="3"/>
      <c r="H5" s="3"/>
    </row>
    <row r="6" spans="1:8" x14ac:dyDescent="0.25">
      <c r="A6" t="s">
        <v>8</v>
      </c>
      <c r="B6">
        <v>2</v>
      </c>
      <c r="C6" t="s">
        <v>20</v>
      </c>
      <c r="D6" s="3"/>
      <c r="E6" s="3"/>
      <c r="F6">
        <v>3</v>
      </c>
      <c r="G6" s="3"/>
      <c r="H6" s="3"/>
    </row>
    <row r="7" spans="1:8" x14ac:dyDescent="0.25">
      <c r="A7" t="s">
        <v>6</v>
      </c>
      <c r="B7">
        <v>8</v>
      </c>
      <c r="C7" t="s">
        <v>37</v>
      </c>
      <c r="D7">
        <v>6</v>
      </c>
      <c r="E7" s="3"/>
      <c r="F7" s="3"/>
      <c r="G7" s="3"/>
      <c r="H7" s="3"/>
    </row>
    <row r="8" spans="1:8" x14ac:dyDescent="0.25">
      <c r="A8" t="s">
        <v>9</v>
      </c>
      <c r="B8">
        <v>1</v>
      </c>
      <c r="C8" t="s">
        <v>26</v>
      </c>
      <c r="D8" s="3"/>
      <c r="E8">
        <v>15</v>
      </c>
      <c r="F8" s="3"/>
      <c r="G8" s="3"/>
      <c r="H8" s="3"/>
    </row>
    <row r="9" spans="1:8" x14ac:dyDescent="0.25">
      <c r="A9" t="s">
        <v>10</v>
      </c>
      <c r="B9">
        <v>1</v>
      </c>
      <c r="C9" t="s">
        <v>21</v>
      </c>
      <c r="D9" s="3"/>
      <c r="E9">
        <v>2</v>
      </c>
      <c r="F9" s="3"/>
      <c r="G9" s="3"/>
      <c r="H9" s="3"/>
    </row>
    <row r="10" spans="1:8" x14ac:dyDescent="0.25">
      <c r="A10" t="s">
        <v>11</v>
      </c>
      <c r="B10">
        <v>1</v>
      </c>
      <c r="C10" t="s">
        <v>22</v>
      </c>
      <c r="D10" s="3"/>
      <c r="E10" s="3"/>
      <c r="F10">
        <v>5</v>
      </c>
      <c r="G10" s="3"/>
      <c r="H10" s="3"/>
    </row>
    <row r="11" spans="1:8" x14ac:dyDescent="0.25">
      <c r="A11" t="s">
        <v>12</v>
      </c>
      <c r="B11">
        <v>1</v>
      </c>
      <c r="C11" t="s">
        <v>23</v>
      </c>
      <c r="D11" s="3"/>
      <c r="E11" s="3"/>
      <c r="F11" s="3"/>
      <c r="G11">
        <v>24</v>
      </c>
      <c r="H11" s="3"/>
    </row>
    <row r="12" spans="1:8" x14ac:dyDescent="0.25">
      <c r="A12" t="s">
        <v>13</v>
      </c>
      <c r="B12">
        <v>2</v>
      </c>
      <c r="C12" t="s">
        <v>21</v>
      </c>
      <c r="D12" s="3"/>
      <c r="E12" s="3"/>
      <c r="F12" s="3"/>
      <c r="G12">
        <v>10</v>
      </c>
      <c r="H12" s="3"/>
    </row>
    <row r="13" spans="1:8" x14ac:dyDescent="0.25">
      <c r="A13" s="3"/>
      <c r="B13" s="3"/>
      <c r="C13" s="3"/>
      <c r="D13" s="3"/>
      <c r="E13" s="3"/>
      <c r="F13" s="3"/>
      <c r="G13" s="3"/>
      <c r="H13" s="3"/>
    </row>
    <row r="14" spans="1:8" x14ac:dyDescent="0.25">
      <c r="A14" s="2" t="s">
        <v>29</v>
      </c>
      <c r="B14" s="2"/>
      <c r="C14" s="2"/>
      <c r="D14">
        <f t="shared" ref="D14:G14" si="0">SUMPRODUCT($B$3:$B$12,D3:D12)</f>
        <v>88</v>
      </c>
      <c r="E14">
        <f t="shared" si="0"/>
        <v>17</v>
      </c>
      <c r="F14">
        <f>SUMPRODUCT($B$3:$B$12,F3:F12)</f>
        <v>31</v>
      </c>
      <c r="G14">
        <f t="shared" si="0"/>
        <v>44</v>
      </c>
      <c r="H14">
        <f>SUM(D14:G14)</f>
        <v>180</v>
      </c>
    </row>
    <row r="15" spans="1:8" x14ac:dyDescent="0.25">
      <c r="A15" s="2" t="s">
        <v>30</v>
      </c>
      <c r="B15" s="2"/>
      <c r="C15" s="2"/>
      <c r="D15">
        <f>D14/12</f>
        <v>7.333333333333333</v>
      </c>
      <c r="E15">
        <f>E14/5</f>
        <v>3.4</v>
      </c>
      <c r="F15">
        <f>F14/3.3</f>
        <v>9.3939393939393945</v>
      </c>
      <c r="G15">
        <f>G14/12</f>
        <v>3.6666666666666665</v>
      </c>
      <c r="H15">
        <f>SUM(D15:G15)</f>
        <v>23.793939393939393</v>
      </c>
    </row>
    <row r="16" spans="1:8" x14ac:dyDescent="0.25">
      <c r="A16" s="2" t="s">
        <v>31</v>
      </c>
      <c r="B16" s="2"/>
      <c r="C16" s="2"/>
      <c r="D16">
        <f>CEILING(D15, 5)</f>
        <v>10</v>
      </c>
      <c r="E16">
        <f t="shared" ref="E16:G16" si="1">CEILING(E15, 5)</f>
        <v>5</v>
      </c>
      <c r="F16">
        <f>CEILING(F15, 5)</f>
        <v>10</v>
      </c>
      <c r="G16">
        <f t="shared" si="1"/>
        <v>5</v>
      </c>
      <c r="H16">
        <f>SUM(D16:G16)</f>
        <v>30</v>
      </c>
    </row>
    <row r="17" spans="1:8" x14ac:dyDescent="0.25">
      <c r="A17" s="2" t="s">
        <v>32</v>
      </c>
      <c r="B17" s="2"/>
      <c r="C17" s="2"/>
      <c r="D17">
        <f t="shared" ref="D17:G17" si="2">CEILING(D16/2,1)</f>
        <v>5</v>
      </c>
      <c r="E17">
        <f t="shared" si="2"/>
        <v>3</v>
      </c>
      <c r="F17">
        <f>CEILING(F16/2,1)</f>
        <v>5</v>
      </c>
      <c r="G17">
        <f t="shared" si="2"/>
        <v>3</v>
      </c>
      <c r="H17">
        <f>SUM(D17:G17)</f>
        <v>16</v>
      </c>
    </row>
  </sheetData>
  <mergeCells count="5">
    <mergeCell ref="A14:C14"/>
    <mergeCell ref="A15:C15"/>
    <mergeCell ref="A16:C16"/>
    <mergeCell ref="A17:C17"/>
    <mergeCell ref="D1:G1"/>
  </mergeCells>
  <conditionalFormatting sqref="D15:G15">
    <cfRule type="cellIs" dxfId="1" priority="1" operator="lessThan">
      <formula>5</formula>
    </cfRule>
    <cfRule type="cellIs" dxfId="0" priority="2" operator="greaterThan">
      <formula>5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5A REGS</vt:lpstr>
      <vt:lpstr>10A REGS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Serban Popovici</dc:creator>
  <cp:lastModifiedBy>Serban Popovici</cp:lastModifiedBy>
  <dcterms:created xsi:type="dcterms:W3CDTF">2025-11-11T22:11:42Z</dcterms:created>
  <dcterms:modified xsi:type="dcterms:W3CDTF">2025-11-17T16:18:05Z</dcterms:modified>
</cp:coreProperties>
</file>